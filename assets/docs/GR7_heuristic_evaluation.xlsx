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vidual Heuristic Evaluation" sheetId="1" r:id="rId5"/>
    <sheet state="visible" name="Summary" sheetId="2" r:id="rId6"/>
  </sheets>
  <definedNames>
    <definedName hidden="1" localSheetId="0" name="Z_FFD9727A_19B9_4EF1_BC3D_DAC22D8CA73B_.wvu.FilterData">'Individual Heuristic Evaluation'!$A$9:$G$64</definedName>
    <definedName hidden="1" localSheetId="0" name="Z_826B76DE_176B_40F9_A67B_398D175B580E_.wvu.FilterData">'Individual Heuristic Evaluation'!$A$9:$G$64</definedName>
  </definedNames>
  <calcPr/>
  <customWorkbookViews>
    <customWorkbookView activeSheetId="0" maximized="1" windowHeight="0" windowWidth="0" guid="{826B76DE-176B-40F9-A67B-398D175B580E}" name="Group by Task "/>
    <customWorkbookView activeSheetId="0" maximized="1" windowHeight="0" windowWidth="0" guid="{FFD9727A-19B9-4EF1-BC3D-DAC22D8CA73B}" name="Group by Task"/>
  </customWorkbookViews>
</workbook>
</file>

<file path=xl/sharedStrings.xml><?xml version="1.0" encoding="utf-8"?>
<sst xmlns="http://schemas.openxmlformats.org/spreadsheetml/2006/main" count="156" uniqueCount="111">
  <si>
    <t>One sentence description</t>
  </si>
  <si>
    <t>Pudding is a desktop companion application that helps self-directed workers break the "Anxiety Loop" by replacing rigid, guilt-driven productivity tools with a supportive, low-pressure presence that validates effort even when progress is invisible.</t>
  </si>
  <si>
    <t>Simple Task</t>
  </si>
  <si>
    <t>Initiate a 25-minute focus session.</t>
  </si>
  <si>
    <t>Moderate Task</t>
  </si>
  <si>
    <t>Break a goal into 2-4 steps and start Step 1 using the desktop companion.</t>
  </si>
  <si>
    <t>Complex Task</t>
  </si>
  <si>
    <t>Use a nudge (Resume/ Nap/ End) to recover when distracted during a focus session, then finish the session and record the next step.</t>
  </si>
  <si>
    <t>*attach images here in the description column if helpful</t>
  </si>
  <si>
    <t>Problem #</t>
  </si>
  <si>
    <t>Column 2</t>
  </si>
  <si>
    <t>Column 3</t>
  </si>
  <si>
    <t>Column 4</t>
  </si>
  <si>
    <t>Description</t>
  </si>
  <si>
    <t>Rationale</t>
  </si>
  <si>
    <t>Fix</t>
  </si>
  <si>
    <t>H1: Visibility of System Status</t>
  </si>
  <si>
    <t>3. Complex Task</t>
  </si>
  <si>
    <t>There are missing metrics on the Summary screen, e.g. Total Time.</t>
  </si>
  <si>
    <t>Violates visibility of system status as total time spent is a crucial piece of information for the user that isn't displayed.</t>
  </si>
  <si>
    <t>Add a Total Time metric to the Summary Screen.</t>
  </si>
  <si>
    <t>H2: Match b/w System &amp; World</t>
  </si>
  <si>
    <t>4. All Tasks</t>
  </si>
  <si>
    <t>There is no option to adjust time for focus sessions.</t>
  </si>
  <si>
    <t>Users typically have different preferrred work times. Allowing them to adjust to their liking would help make the application help more intuitive.</t>
  </si>
  <si>
    <t>Add a option to adjust work time before user starts their focus session.</t>
  </si>
  <si>
    <t>On "Hey, Still There" screen, the "End Session" button is gray.</t>
  </si>
  <si>
    <t>Users typically perceive stopping with the color red. Using conventional "stop" colors for buttons would help align with the user's intuition.</t>
  </si>
  <si>
    <t>Make the button a color users associate with stopping, such as red.</t>
  </si>
  <si>
    <t>H3: User Control &amp; Freedom</t>
  </si>
  <si>
    <t>2. Moderate Task</t>
  </si>
  <si>
    <t>No option to delete steps on "CS 147 Essay" task page.</t>
  </si>
  <si>
    <t>If users accidentally create a task, or don't want an existing task to start focus sessions for anymore, they can't delete them from the app. The app does not support undo for this.</t>
  </si>
  <si>
    <t xml:space="preserve">Add an option for users to delete tasks. Allow them to choose all tasks AND specific tasks to delete. </t>
  </si>
  <si>
    <t>On the "Session Complete" screen, there is no button to go back to the main screen.</t>
  </si>
  <si>
    <t>In the case that users do not want to do the reflection, they have no option to go back to the main screen and will need to go through extended screens.</t>
  </si>
  <si>
    <t>Add a button that redirects to the main page on the "Session Complete" screen.</t>
  </si>
  <si>
    <t>The "Back" button on the "CS 147 Essay" task page does not work.</t>
  </si>
  <si>
    <t>There is no option to go back to the "Your Tasks" screen if a user does not want to start a focus session for "CS 147 Essay."</t>
  </si>
  <si>
    <t>Fix the functionality of the "Back" button by linking the "CS 147 Essay" task page to the "Your Tasks" page.</t>
  </si>
  <si>
    <t>There is no "Delete" button for a task on the "Your Tasks" page.</t>
  </si>
  <si>
    <t>If the user mistakenly enters a task if wants to get rid of one, they cannot. As a result, the list will keep on growing.</t>
  </si>
  <si>
    <t>Add a "Delete" option for a task on the "Your Tasks" page. Allow the user to select multiple tasks to delete at once.</t>
  </si>
  <si>
    <t>H4: Consistency &amp; Standards</t>
  </si>
  <si>
    <t>1. Simple Task</t>
  </si>
  <si>
    <t>The "End" button for starting a session through "Deep Work" leads back to the "Home" screen instead of a "Session Complete" screen.</t>
  </si>
  <si>
    <t>Violates consistency and standards as starting a session through a specific task leads to "Session Complete", while starting a session through the "Deep Work" button does not.</t>
  </si>
  <si>
    <t>Add a "Session Complete" screen after "Deep Work" session ends with statistics including minutes of focus time, number of interruptions and naps taken, and percentage of time focused.</t>
  </si>
  <si>
    <t>The "Session Complete" screen contains both "Interruptions" and "Naps" metrics.</t>
  </si>
  <si>
    <t>It is not clear to the user what the difference between the two metrics is, as the only options during a session are Resume, Nap, and End.</t>
  </si>
  <si>
    <t>Either take "Interruptions" out if it measures the same thing as "Naps," or add a description to both to distinguish the two.</t>
  </si>
  <si>
    <t>Clicking "Pause", then "Return to Work" button for "Deep Work" focus session leads to the "CS 147 Essay" focus session instead of returning to original session.</t>
  </si>
  <si>
    <t>This does not work as the user is expecting it to. The "Return to Work" button should lead to its respective session instead of an unrelated one.</t>
  </si>
  <si>
    <t>Fix the "Return to Work" button after clicking "Pause" to link to the original "Deep Work" session.</t>
  </si>
  <si>
    <t xml:space="preserve">The dog Pudding disappears as a companion on the "Session Completed" and "Reflection" screens, instead becoming an illustration. </t>
  </si>
  <si>
    <t>Pudding existing as a companion under all the screens except for these two seems to disobey platform conventions. This can feel strange to the user.</t>
  </si>
  <si>
    <t>Move the Pudding illustrations from the "Session Completed" and "Reflection" screens to be a companion below them instead.</t>
  </si>
  <si>
    <t>Different screens are sized differently. For example, the "Session Complete" screen is longer than the "Reflection" screen.</t>
  </si>
  <si>
    <t>This can feel inconsistent to the user as whenever they navigate to another screen, it often changes size.</t>
  </si>
  <si>
    <t>Make non-focus session screens the same size for increased cohesiveness. The focus session screens can be smaller since they reside on the user's desktop for longer.</t>
  </si>
  <si>
    <t>H5: Error Prevention</t>
  </si>
  <si>
    <t>The "End" Button does not have any check to ensure the user is intentionally ending the session.</t>
  </si>
  <si>
    <t>The user could accidently click the "End" button, and there are no safeguards in place to check that this was an intended action.</t>
  </si>
  <si>
    <t>Add a confirmation screen after a user clicks the "End" button during a session.</t>
  </si>
  <si>
    <t>H6: Recognition not Recall</t>
  </si>
  <si>
    <t>After editing tasks, there is no option to restore them after they are changed.</t>
  </si>
  <si>
    <t>User experience would be better if the user did not have to remember/rewrite what the original task was if they want to revert their changes.</t>
  </si>
  <si>
    <t>Add a "Revert Changes" button that remembers the user's last saved task entry in the case they want to revert back.</t>
  </si>
  <si>
    <t>On the "Session Complete" screen, there is no mention of the task or step completed.</t>
  </si>
  <si>
    <t>If the user walks away and comes back after a while, they could forget what task was just completed.</t>
  </si>
  <si>
    <t xml:space="preserve">Mention task and step completed on "Session Complete" screen for the respective focus session. </t>
  </si>
  <si>
    <t>H7: Flexibility &amp; Efficiency of Use</t>
  </si>
  <si>
    <t>The user has to manually click through the application when they want to start a "Deep Work," "Light Work," or "Short Break" session.</t>
  </si>
  <si>
    <t xml:space="preserve">If a user is familiar with the app, they might want to start a session without having to click through the application. </t>
  </si>
  <si>
    <t xml:space="preserve">Allow users to start a focus or break session using keyboard shortcuts.  </t>
  </si>
  <si>
    <t>When finding a task, user must scroll through all tasks to find the target.</t>
  </si>
  <si>
    <t>If the user wants to find a specific task among a large number of tasks, they may want a search option. This would save them from a lot of time spent scrolling through tasks.</t>
  </si>
  <si>
    <t>Include a search bar that takes in the name of the task and returns all matching entries.</t>
  </si>
  <si>
    <t xml:space="preserve">When starting a focus session for a recently used task, user must search for task everytime. </t>
  </si>
  <si>
    <t>Users often want to reaccess their recently used tasks for focus sessions.</t>
  </si>
  <si>
    <t xml:space="preserve">Include a "Recent" section on the "Your Tasks" screen for tasks that user has recently had focus sessions for. </t>
  </si>
  <si>
    <t>H8: Aesthetic &amp; Minimalist Design</t>
  </si>
  <si>
    <t>5. Extra Violations</t>
  </si>
  <si>
    <t xml:space="preserve">The application screen is always visible with the desktop companion. </t>
  </si>
  <si>
    <t>This clutters up the user's desktop especially when the user does not need to use the app (i.e. currently in a focus session).</t>
  </si>
  <si>
    <t>Have the application appear and disappear when the user clicks on Pudding, or use keyboard shortcuts to do this.</t>
  </si>
  <si>
    <t>The hotbar at the bottom of the app screen containing "Smart Dodge" and "Opacity" configurations is positioned on top of the "CS 147 Essay" task screen's "Start Step 1" button.</t>
  </si>
  <si>
    <t>Stacking components on top of each other with no clear sense of organization can look messy and unpolished to the user.</t>
  </si>
  <si>
    <t>Move the position of the hotbar down to avoid stacking it on top of the app screen.</t>
  </si>
  <si>
    <t xml:space="preserve">In the Reflection screen, the text in the top half of the screen referencing next steps is repetitive, e.g. "What's Next?," Set yourself up for next time," and "What will you do next?" </t>
  </si>
  <si>
    <t>Violates Aesthetic and Minimalist Design because the repetitive text clutters up the screen and doesn't add much value.</t>
  </si>
  <si>
    <t>Take out the repetitive text and add some variety to sentences on the Reflection page, making sure they add value to the user experience.</t>
  </si>
  <si>
    <t>H9: Help Users with Errors</t>
  </si>
  <si>
    <t>The user can leave the "Reflection" portion empty and still click "Save and Close."</t>
  </si>
  <si>
    <t>The "Reflection" screen should throw an error if the reflection is not completely filled out but user saves and closes.</t>
  </si>
  <si>
    <t>Add an error pop-up that prompts the user to complete the reflection if they try to save and close without completing.</t>
  </si>
  <si>
    <t>H10: Help &amp; Documentation</t>
  </si>
  <si>
    <t>While the app is fairly intuitive, it would be helpful to have a "Help" page to explain how it works as well as the metrics that are displayed on the "Session Completed" screens.</t>
  </si>
  <si>
    <t>New users may not know how to navigate the app. Additionally, the metrics on the "Session Completed" screens may not be understood by some users.</t>
  </si>
  <si>
    <t>Add a "Help" page to the main screen that contains "how-to" instructions and descriptions for focus session metrics.</t>
  </si>
  <si>
    <t>To give users a more comprehensive overview of their app usage, It would be helpful to have a "Summary" page that outlines statistics for all tasks and focus sessions completed.</t>
  </si>
  <si>
    <t>This would give users the "bigger picture" that helps them visualize all the procress they made with  Pudding.</t>
  </si>
  <si>
    <t>Add a "Summary" page to the main screen that contains metrics for all tasks and focus sessions they completed, such as total # completed, which ones they have completed, when they did it, etc.</t>
  </si>
  <si>
    <t>After returning from the "CS 147 Essay" focus session, it redirects back to the "Your Tasks" page, where the user is unable to click the "CS 147 Essay" task to start a sessionagain.</t>
  </si>
  <si>
    <t>This does not work as expected on the user's end. The user should be able to start another focus session for "CS 147 Essay" after returning from one for the same task.</t>
  </si>
  <si>
    <t>Fix the "CS 147 Essay" task after returning from session for same task by linking correctly back to the same session.</t>
  </si>
  <si>
    <t>Heuristic</t>
  </si>
  <si>
    <t># Violations</t>
  </si>
  <si>
    <t>Overall Recommendations</t>
  </si>
  <si>
    <t xml:space="preserve">            I really enjoyed exploring the Pudding prototype, and I can clearly see how it puts a twist on conventional productivity tools. Unlike these tools out on the market, which often rely on guilt and pressure-driven reminders, the ambient, supportive presence of Pudding definitely feels designed to encourage focus through companionship. I especially appreciated the work put not only into the application, but also the desktop screen simulation to make the experience feel more realistic.
                Throughout my heuristic evaluation, I noticed some general impressions and trends, particularly related to H3 (User Control &amp; Freedom) and H4 (Consistency and Standards). Many pages were missing functionality that allowed the user to undo or reverse actions, which made the overall flow feel somewhat bumpy. In some instances, "Back" buttons were either missing or not working, meaning that instead of just returning to an earlier page, I had to complete an entire flow through the app to land back at the home page. Over time, this became exhausting and took away from the calm atmosphere the app is trying to create. Additionally, I noticed recurring consistency issues as well. Certain buttons would lead to incorrect pages, some terms were unclear (such as session summary metrics), and Pudding itself was not consistently present either. On some screens, Pudding disappeared and was replaced by an illustration on the app page, which feels a little strange as Pudding is supposed to be the anchor of the application. For improvements, I recommend making sure that every page includes fully functional nagivation features, including working "Back" buttons and an option to exit to the Main page. Doing a test run through the app and exploring all possible variations of actions can help you notice parts where user control and freedom is disrupted. Second, I recommend using standard terminology, button behaviors, and views of Pudding across all screens. Consistent design makes the application not only more intuitive for the user, but also adds to the user experience. Clarifying session metrics with descriptions and making sure actions always produce an expected outcome can help the app feel more polished.
               Beyond the heuristics, I recommend some broader design changes. Right now, Pudding is positioned as just a UI element, however it is the core of the user experience. Allowing Pudding to respond more dynamically to user behavior, such as offering different encouragement after multiple completed sessions or adapting its tone over time, could make users more engaged because the system is personalized to them. Additionally, customization is an area that could be expanded as well. Currently, there is no feature that allows users to customize focus session times. People have different preferences for work times, so allowing users to adjust session duration could accomodate different needs and increase accessibility.
</t>
  </si>
  <si>
    <t>Total Violations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</si>
</sst>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i/>
      <color theme="1"/>
      <name val="Arial"/>
    </font>
    <font>
      <color theme="1"/>
      <name val="Arial"/>
      <scheme val="minor"/>
    </font>
    <font>
      <i/>
      <color theme="1"/>
      <name val="Arial"/>
      <scheme val="minor"/>
    </font>
    <font>
      <color rgb="FF434343"/>
      <name val="Roboto"/>
    </font>
    <font/>
    <font>
      <color theme="1"/>
      <name val="Google Sans Mono"/>
    </font>
    <font>
      <sz val="9.0"/>
      <color rgb="FF000000"/>
      <name val="Google Sans Mono"/>
    </font>
  </fonts>
  <fills count="6">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F6F8F9"/>
        <bgColor rgb="FFF6F8F9"/>
      </patternFill>
    </fill>
    <fill>
      <patternFill patternType="solid">
        <fgColor rgb="FFEFEFEF"/>
        <bgColor rgb="FFEFEFEF"/>
      </patternFill>
    </fill>
  </fills>
  <borders count="12">
    <border/>
    <border>
      <left style="thin">
        <color rgb="FF442F65"/>
      </left>
      <right style="thin">
        <color rgb="FFFFFFFF"/>
      </right>
      <top style="thin">
        <color rgb="FFFFFFFF"/>
      </top>
      <bottom style="thin">
        <color rgb="FFFFFFFF"/>
      </bottom>
    </border>
    <border>
      <left style="thin">
        <color rgb="FF442F65"/>
      </left>
      <right style="thin">
        <color rgb="FFF6F8F9"/>
      </right>
      <top style="thin">
        <color rgb="FFF6F8F9"/>
      </top>
      <bottom style="thin">
        <color rgb="FFF6F8F9"/>
      </bottom>
    </border>
    <border>
      <left style="thin">
        <color rgb="FF442F65"/>
      </left>
      <right style="thin">
        <color rgb="FFFFFFFF"/>
      </right>
      <top style="thin">
        <color rgb="FFFFFFFF"/>
      </top>
      <bottom style="thin">
        <color rgb="FF442F65"/>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Alignment="1" applyFont="1">
      <alignment shrinkToFit="0" vertical="top" wrapText="1"/>
    </xf>
    <xf borderId="0" fillId="0" fontId="3" numFmtId="0" xfId="0" applyAlignment="1" applyFont="1">
      <alignment horizontal="left" readingOrder="0" shrinkToFit="0" wrapText="1"/>
    </xf>
    <xf borderId="0" fillId="2" fontId="1" numFmtId="0" xfId="0" applyAlignment="1" applyFill="1" applyFont="1">
      <alignment horizontal="left" readingOrder="0" shrinkToFit="0" wrapText="1"/>
    </xf>
    <xf borderId="0" fillId="0" fontId="3" numFmtId="0" xfId="0" applyAlignment="1" applyFont="1">
      <alignment readingOrder="0"/>
    </xf>
    <xf borderId="0" fillId="0" fontId="4" numFmtId="0" xfId="0" applyAlignment="1" applyFont="1">
      <alignment horizontal="left" readingOrder="0" shrinkToFit="0" wrapText="1"/>
    </xf>
    <xf borderId="0" fillId="2" fontId="1" numFmtId="0" xfId="0" applyAlignment="1" applyFont="1">
      <alignment horizontal="left" readingOrder="0" shrinkToFit="0" vertical="top" wrapText="1"/>
    </xf>
    <xf borderId="0" fillId="0" fontId="3" numFmtId="0" xfId="0" applyFont="1"/>
    <xf borderId="0" fillId="0" fontId="3" numFmtId="0" xfId="0" applyAlignment="1" applyFont="1">
      <alignment horizontal="left" readingOrder="0" shrinkToFit="0" vertical="center" wrapText="1"/>
    </xf>
    <xf borderId="0" fillId="0" fontId="3" numFmtId="49" xfId="0" applyAlignment="1" applyFont="1" applyNumberFormat="1">
      <alignment horizontal="left" readingOrder="0" shrinkToFit="0" vertical="center" wrapText="0"/>
    </xf>
    <xf borderId="0" fillId="0" fontId="3" numFmtId="49" xfId="0" applyAlignment="1" applyFont="1" applyNumberFormat="1">
      <alignment horizontal="left" readingOrder="0" shrinkToFit="0" vertical="center" wrapText="0"/>
    </xf>
    <xf borderId="0" fillId="0" fontId="3" numFmtId="0" xfId="0" applyAlignment="1" applyFont="1">
      <alignment horizontal="left" readingOrder="0" shrinkToFit="0" vertical="top"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49" xfId="0" applyAlignment="1" applyFont="1" applyNumberFormat="1">
      <alignment readingOrder="0" shrinkToFit="0" vertical="top" wrapText="1"/>
    </xf>
    <xf borderId="0" fillId="0" fontId="3" numFmtId="0" xfId="0" applyAlignment="1" applyFont="1">
      <alignment readingOrder="0" shrinkToFit="0" vertical="top" wrapText="1"/>
    </xf>
    <xf borderId="0" fillId="0" fontId="3" numFmtId="49" xfId="0" applyAlignment="1" applyFont="1" applyNumberFormat="1">
      <alignment readingOrder="0" shrinkToFit="0" vertical="top" wrapText="1"/>
    </xf>
    <xf borderId="0" fillId="0" fontId="3" numFmtId="0" xfId="0" applyAlignment="1" applyFont="1">
      <alignment readingOrder="0" shrinkToFit="0" vertical="top" wrapText="1"/>
    </xf>
    <xf borderId="1" fillId="3" fontId="5" numFmtId="0" xfId="0" applyAlignment="1" applyBorder="1" applyFill="1" applyFont="1">
      <alignment horizontal="left" shrinkToFit="0" vertical="top" wrapText="0"/>
    </xf>
    <xf borderId="2" fillId="4" fontId="5" numFmtId="0" xfId="0" applyAlignment="1" applyBorder="1" applyFill="1" applyFont="1">
      <alignment horizontal="left" shrinkToFit="0" vertical="center" wrapText="0"/>
    </xf>
    <xf borderId="0" fillId="0" fontId="3" numFmtId="49" xfId="0" applyAlignment="1" applyFont="1" applyNumberFormat="1">
      <alignment readingOrder="0" shrinkToFit="0" vertical="center" wrapText="1"/>
    </xf>
    <xf borderId="2" fillId="4" fontId="5" numFmtId="0" xfId="0" applyAlignment="1" applyBorder="1" applyFont="1">
      <alignment horizontal="left" shrinkToFit="0" vertical="top" wrapText="0"/>
    </xf>
    <xf borderId="0" fillId="0" fontId="3" numFmtId="0" xfId="0" applyAlignment="1" applyFont="1">
      <alignment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1"/>
    </xf>
    <xf borderId="0" fillId="0" fontId="3" numFmtId="49" xfId="0" applyAlignment="1" applyFont="1" applyNumberFormat="1">
      <alignment shrinkToFit="0" vertical="center" wrapText="0"/>
    </xf>
    <xf borderId="0" fillId="0" fontId="3" numFmtId="0" xfId="0" applyAlignment="1" applyFont="1">
      <alignment shrinkToFit="0" vertical="center" wrapText="1"/>
    </xf>
    <xf borderId="0" fillId="0" fontId="3" numFmtId="0" xfId="0" applyAlignment="1" applyFont="1">
      <alignment shrinkToFit="0" vertical="center" wrapText="0"/>
    </xf>
    <xf borderId="3" fillId="3" fontId="5" numFmtId="0" xfId="0" applyAlignment="1" applyBorder="1" applyFont="1">
      <alignment horizontal="left" shrinkToFit="0" vertical="top" wrapText="0"/>
    </xf>
    <xf borderId="4" fillId="5" fontId="1" numFmtId="0" xfId="0" applyAlignment="1" applyBorder="1" applyFill="1" applyFont="1">
      <alignment readingOrder="0"/>
    </xf>
    <xf borderId="5" fillId="5" fontId="1" numFmtId="0" xfId="0" applyAlignment="1" applyBorder="1" applyFont="1">
      <alignment readingOrder="0"/>
    </xf>
    <xf borderId="6" fillId="0" fontId="6" numFmtId="0" xfId="0" applyBorder="1" applyFont="1"/>
    <xf borderId="5" fillId="0" fontId="6" numFmtId="0" xfId="0" applyBorder="1" applyFont="1"/>
    <xf borderId="7" fillId="0" fontId="0" numFmtId="0" xfId="0" applyAlignment="1" applyBorder="1" applyFont="1">
      <alignment readingOrder="0"/>
    </xf>
    <xf borderId="8" fillId="0" fontId="7" numFmtId="0" xfId="0" applyBorder="1" applyFont="1"/>
    <xf borderId="7" fillId="0" fontId="4" numFmtId="0" xfId="0" applyAlignment="1" applyBorder="1" applyFont="1">
      <alignment readingOrder="0" shrinkToFit="0" vertical="top" wrapText="1"/>
    </xf>
    <xf borderId="8" fillId="0" fontId="6" numFmtId="0" xfId="0" applyBorder="1" applyFont="1"/>
    <xf borderId="7" fillId="0" fontId="0" numFmtId="0" xfId="0" applyAlignment="1" applyBorder="1" applyFont="1">
      <alignment horizontal="left" readingOrder="0" shrinkToFit="0" wrapText="1"/>
    </xf>
    <xf borderId="8" fillId="3" fontId="8" numFmtId="0" xfId="0" applyBorder="1" applyFont="1"/>
    <xf borderId="7" fillId="0" fontId="6" numFmtId="0" xfId="0" applyBorder="1" applyFont="1"/>
    <xf borderId="9" fillId="0" fontId="1" numFmtId="0" xfId="0" applyAlignment="1" applyBorder="1" applyFont="1">
      <alignment readingOrder="0" vertical="top"/>
    </xf>
    <xf borderId="10" fillId="0" fontId="7" numFmtId="0" xfId="0" applyAlignment="1" applyBorder="1" applyFont="1">
      <alignment vertical="top"/>
    </xf>
    <xf borderId="9" fillId="0" fontId="6" numFmtId="0" xfId="0" applyBorder="1" applyFont="1"/>
    <xf borderId="11" fillId="0" fontId="6" numFmtId="0" xfId="0" applyBorder="1" applyFont="1"/>
    <xf borderId="10" fillId="0" fontId="6" numFmtId="0" xfId="0" applyBorder="1"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s>
  <tableStyles count="1">
    <tableStyle count="4" pivot="0" name="Individual Heuristic Evaluati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9:G64" displayName="Individual_Heuristic_Evaluations" name="Individual_Heuristic_Evaluations" id="1">
  <tableColumns count="7">
    <tableColumn name="Problem #" id="1"/>
    <tableColumn name="Column 2" id="2"/>
    <tableColumn name="Column 3" id="3"/>
    <tableColumn name="Column 4" id="4"/>
    <tableColumn name="Description" id="5"/>
    <tableColumn name="Rationale" id="6"/>
    <tableColumn name="Fix" id="7"/>
  </tableColumns>
  <tableStyleInfo name="Individual Heuristic Evalu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31.5"/>
    <col customWidth="1" min="2" max="2" width="30.13"/>
    <col customWidth="1" min="3" max="10" width="22.63"/>
    <col customWidth="1" min="11" max="11" width="15.13"/>
  </cols>
  <sheetData>
    <row r="1" ht="30.75" customHeight="1">
      <c r="A1" s="1" t="s">
        <v>0</v>
      </c>
      <c r="B1" s="2" t="s">
        <v>1</v>
      </c>
      <c r="F1" s="3"/>
      <c r="G1" s="3"/>
    </row>
    <row r="2">
      <c r="A2" s="3"/>
      <c r="B2" s="3"/>
      <c r="C2" s="3"/>
      <c r="D2" s="3"/>
      <c r="E2" s="3"/>
      <c r="F2" s="3"/>
      <c r="G2" s="3"/>
    </row>
    <row r="3">
      <c r="A3" s="4" t="s">
        <v>2</v>
      </c>
      <c r="B3" s="5" t="s">
        <v>3</v>
      </c>
      <c r="C3" s="6"/>
      <c r="D3" s="6"/>
      <c r="E3" s="6"/>
      <c r="F3" s="3"/>
      <c r="G3" s="3"/>
    </row>
    <row r="4">
      <c r="A4" s="4" t="s">
        <v>4</v>
      </c>
      <c r="B4" s="5" t="s">
        <v>5</v>
      </c>
      <c r="C4" s="6"/>
      <c r="D4" s="6"/>
      <c r="E4" s="6"/>
      <c r="F4" s="3"/>
      <c r="G4" s="3"/>
    </row>
    <row r="5">
      <c r="A5" s="7" t="s">
        <v>6</v>
      </c>
      <c r="B5" s="5" t="s">
        <v>7</v>
      </c>
      <c r="C5" s="6"/>
      <c r="D5" s="6"/>
      <c r="E5" s="6"/>
      <c r="F5" s="3"/>
      <c r="G5" s="3"/>
    </row>
    <row r="6">
      <c r="A6" s="3"/>
      <c r="B6" s="3"/>
      <c r="C6" s="3"/>
      <c r="D6" s="3"/>
      <c r="E6" s="3"/>
      <c r="F6" s="3"/>
      <c r="G6" s="3"/>
    </row>
    <row r="7">
      <c r="A7" s="3"/>
      <c r="B7" s="3"/>
      <c r="C7" s="8"/>
      <c r="D7" s="3"/>
      <c r="E7" s="3"/>
      <c r="F7" s="3"/>
      <c r="G7" s="3"/>
    </row>
    <row r="8">
      <c r="A8" s="3"/>
      <c r="B8" s="3"/>
      <c r="C8" s="8"/>
      <c r="D8" s="8"/>
      <c r="E8" s="6" t="s">
        <v>8</v>
      </c>
      <c r="F8" s="3"/>
      <c r="G8" s="3"/>
    </row>
    <row r="9" ht="22.5" customHeight="1">
      <c r="A9" s="9" t="s">
        <v>9</v>
      </c>
      <c r="B9" s="10" t="s">
        <v>10</v>
      </c>
      <c r="C9" s="11" t="s">
        <v>11</v>
      </c>
      <c r="D9" s="11" t="s">
        <v>12</v>
      </c>
      <c r="E9" s="9" t="s">
        <v>13</v>
      </c>
      <c r="F9" s="9" t="s">
        <v>14</v>
      </c>
      <c r="G9" s="9" t="s">
        <v>15</v>
      </c>
    </row>
    <row r="10" ht="73.5" customHeight="1">
      <c r="A10" s="12">
        <v>1.0</v>
      </c>
      <c r="B10" s="13" t="s">
        <v>16</v>
      </c>
      <c r="C10" s="14" t="s">
        <v>17</v>
      </c>
      <c r="D10" s="14">
        <v>2.0</v>
      </c>
      <c r="E10" s="15" t="s">
        <v>18</v>
      </c>
      <c r="F10" s="16" t="s">
        <v>19</v>
      </c>
      <c r="G10" s="16" t="s">
        <v>20</v>
      </c>
    </row>
    <row r="11" ht="93.0" customHeight="1">
      <c r="A11" s="12">
        <v>2.0</v>
      </c>
      <c r="B11" s="13" t="s">
        <v>21</v>
      </c>
      <c r="C11" s="14" t="s">
        <v>22</v>
      </c>
      <c r="D11" s="14">
        <v>3.0</v>
      </c>
      <c r="E11" s="15" t="s">
        <v>23</v>
      </c>
      <c r="F11" s="16" t="s">
        <v>24</v>
      </c>
      <c r="G11" s="16" t="s">
        <v>25</v>
      </c>
    </row>
    <row r="12" ht="78.75" customHeight="1">
      <c r="A12" s="12">
        <v>3.0</v>
      </c>
      <c r="B12" s="13" t="s">
        <v>21</v>
      </c>
      <c r="C12" s="14" t="s">
        <v>17</v>
      </c>
      <c r="D12" s="14">
        <v>1.0</v>
      </c>
      <c r="E12" s="15" t="s">
        <v>26</v>
      </c>
      <c r="F12" s="16" t="s">
        <v>27</v>
      </c>
      <c r="G12" s="16" t="s">
        <v>28</v>
      </c>
    </row>
    <row r="13" ht="97.5" customHeight="1">
      <c r="A13" s="12">
        <v>4.0</v>
      </c>
      <c r="B13" s="13" t="s">
        <v>29</v>
      </c>
      <c r="C13" s="14" t="s">
        <v>30</v>
      </c>
      <c r="D13" s="14">
        <v>3.0</v>
      </c>
      <c r="E13" s="15" t="s">
        <v>31</v>
      </c>
      <c r="F13" s="16" t="s">
        <v>32</v>
      </c>
      <c r="G13" s="16" t="s">
        <v>33</v>
      </c>
    </row>
    <row r="14" ht="92.25" customHeight="1">
      <c r="A14" s="12">
        <v>5.0</v>
      </c>
      <c r="B14" s="13" t="s">
        <v>29</v>
      </c>
      <c r="C14" s="14" t="s">
        <v>30</v>
      </c>
      <c r="D14" s="14">
        <v>2.0</v>
      </c>
      <c r="E14" s="15" t="s">
        <v>34</v>
      </c>
      <c r="F14" s="16" t="s">
        <v>35</v>
      </c>
      <c r="G14" s="16" t="s">
        <v>36</v>
      </c>
    </row>
    <row r="15" ht="85.5" customHeight="1">
      <c r="A15" s="12">
        <v>6.0</v>
      </c>
      <c r="B15" s="13" t="s">
        <v>29</v>
      </c>
      <c r="C15" s="14" t="s">
        <v>30</v>
      </c>
      <c r="D15" s="14">
        <v>3.0</v>
      </c>
      <c r="E15" s="15" t="s">
        <v>37</v>
      </c>
      <c r="F15" s="16" t="s">
        <v>38</v>
      </c>
      <c r="G15" s="16" t="s">
        <v>39</v>
      </c>
    </row>
    <row r="16" ht="22.5" customHeight="1">
      <c r="A16" s="12">
        <v>7.0</v>
      </c>
      <c r="B16" s="13" t="s">
        <v>29</v>
      </c>
      <c r="C16" s="14" t="s">
        <v>30</v>
      </c>
      <c r="D16" s="14">
        <v>2.0</v>
      </c>
      <c r="E16" s="17" t="s">
        <v>40</v>
      </c>
      <c r="F16" s="16" t="s">
        <v>41</v>
      </c>
      <c r="G16" s="16" t="s">
        <v>42</v>
      </c>
    </row>
    <row r="17" ht="22.5" customHeight="1">
      <c r="A17" s="12">
        <v>9.0</v>
      </c>
      <c r="B17" s="13" t="s">
        <v>43</v>
      </c>
      <c r="C17" s="14" t="s">
        <v>44</v>
      </c>
      <c r="D17" s="14">
        <v>2.0</v>
      </c>
      <c r="E17" s="17" t="s">
        <v>45</v>
      </c>
      <c r="F17" s="16" t="s">
        <v>46</v>
      </c>
      <c r="G17" s="16" t="s">
        <v>47</v>
      </c>
    </row>
    <row r="18" ht="22.5" customHeight="1">
      <c r="A18" s="12">
        <v>10.0</v>
      </c>
      <c r="B18" s="13" t="s">
        <v>43</v>
      </c>
      <c r="C18" s="14" t="s">
        <v>17</v>
      </c>
      <c r="D18" s="14">
        <v>2.0</v>
      </c>
      <c r="E18" s="15" t="s">
        <v>48</v>
      </c>
      <c r="F18" s="16" t="s">
        <v>49</v>
      </c>
      <c r="G18" s="16" t="s">
        <v>50</v>
      </c>
    </row>
    <row r="19" ht="22.5" customHeight="1">
      <c r="A19" s="12">
        <v>11.0</v>
      </c>
      <c r="B19" s="13" t="s">
        <v>43</v>
      </c>
      <c r="C19" s="14" t="s">
        <v>44</v>
      </c>
      <c r="D19" s="14">
        <v>4.0</v>
      </c>
      <c r="E19" s="17" t="s">
        <v>51</v>
      </c>
      <c r="F19" s="16" t="s">
        <v>52</v>
      </c>
      <c r="G19" s="18" t="s">
        <v>53</v>
      </c>
    </row>
    <row r="20" ht="22.5" customHeight="1">
      <c r="A20" s="12">
        <v>12.0</v>
      </c>
      <c r="B20" s="13" t="s">
        <v>43</v>
      </c>
      <c r="C20" s="14" t="s">
        <v>22</v>
      </c>
      <c r="D20" s="14">
        <v>1.0</v>
      </c>
      <c r="E20" s="17" t="s">
        <v>54</v>
      </c>
      <c r="F20" s="16" t="s">
        <v>55</v>
      </c>
      <c r="G20" s="16" t="s">
        <v>56</v>
      </c>
    </row>
    <row r="21" ht="85.5" customHeight="1">
      <c r="A21" s="12">
        <v>13.0</v>
      </c>
      <c r="B21" s="13" t="s">
        <v>43</v>
      </c>
      <c r="C21" s="14" t="s">
        <v>22</v>
      </c>
      <c r="D21" s="14">
        <v>1.0</v>
      </c>
      <c r="E21" s="15" t="s">
        <v>57</v>
      </c>
      <c r="F21" s="16" t="s">
        <v>58</v>
      </c>
      <c r="G21" s="16" t="s">
        <v>59</v>
      </c>
    </row>
    <row r="22" ht="22.5" customHeight="1">
      <c r="A22" s="12">
        <v>14.0</v>
      </c>
      <c r="B22" s="13" t="s">
        <v>60</v>
      </c>
      <c r="C22" s="14" t="s">
        <v>17</v>
      </c>
      <c r="D22" s="14">
        <v>2.0</v>
      </c>
      <c r="E22" s="15" t="s">
        <v>61</v>
      </c>
      <c r="F22" s="16" t="s">
        <v>62</v>
      </c>
      <c r="G22" s="16" t="s">
        <v>63</v>
      </c>
    </row>
    <row r="23" ht="22.5" customHeight="1">
      <c r="A23" s="19">
        <v>15.0</v>
      </c>
      <c r="B23" s="13" t="s">
        <v>64</v>
      </c>
      <c r="C23" s="14" t="s">
        <v>30</v>
      </c>
      <c r="D23" s="14">
        <v>2.0</v>
      </c>
      <c r="E23" s="15" t="s">
        <v>65</v>
      </c>
      <c r="F23" s="16" t="s">
        <v>66</v>
      </c>
      <c r="G23" s="16" t="s">
        <v>67</v>
      </c>
    </row>
    <row r="24" ht="22.5" customHeight="1">
      <c r="A24" s="20">
        <v>16.0</v>
      </c>
      <c r="B24" s="13" t="s">
        <v>64</v>
      </c>
      <c r="C24" s="14" t="s">
        <v>17</v>
      </c>
      <c r="D24" s="14">
        <v>2.0</v>
      </c>
      <c r="E24" s="21" t="s">
        <v>68</v>
      </c>
      <c r="F24" s="16" t="s">
        <v>69</v>
      </c>
      <c r="G24" s="16" t="s">
        <v>70</v>
      </c>
    </row>
    <row r="25" ht="61.5" customHeight="1">
      <c r="A25" s="19">
        <v>17.0</v>
      </c>
      <c r="B25" s="13" t="s">
        <v>71</v>
      </c>
      <c r="C25" s="14" t="s">
        <v>44</v>
      </c>
      <c r="D25" s="14">
        <v>2.0</v>
      </c>
      <c r="E25" s="17" t="s">
        <v>72</v>
      </c>
      <c r="F25" s="18" t="s">
        <v>73</v>
      </c>
      <c r="G25" s="18" t="s">
        <v>74</v>
      </c>
    </row>
    <row r="26" ht="22.5" customHeight="1">
      <c r="A26" s="22">
        <v>18.0</v>
      </c>
      <c r="B26" s="13" t="s">
        <v>71</v>
      </c>
      <c r="C26" s="14" t="s">
        <v>30</v>
      </c>
      <c r="D26" s="14">
        <v>2.0</v>
      </c>
      <c r="E26" s="21" t="s">
        <v>75</v>
      </c>
      <c r="F26" s="16" t="s">
        <v>76</v>
      </c>
      <c r="G26" s="18" t="s">
        <v>77</v>
      </c>
    </row>
    <row r="27" ht="106.5" customHeight="1">
      <c r="A27" s="19">
        <v>19.0</v>
      </c>
      <c r="B27" s="13" t="s">
        <v>71</v>
      </c>
      <c r="C27" s="14" t="s">
        <v>30</v>
      </c>
      <c r="D27" s="14">
        <v>2.0</v>
      </c>
      <c r="E27" s="15" t="s">
        <v>78</v>
      </c>
      <c r="F27" s="15" t="s">
        <v>79</v>
      </c>
      <c r="G27" s="15" t="s">
        <v>80</v>
      </c>
    </row>
    <row r="28" ht="73.5" customHeight="1">
      <c r="A28" s="22">
        <v>20.0</v>
      </c>
      <c r="B28" s="13" t="s">
        <v>81</v>
      </c>
      <c r="C28" s="14" t="s">
        <v>82</v>
      </c>
      <c r="D28" s="14">
        <v>1.0</v>
      </c>
      <c r="E28" s="17" t="s">
        <v>83</v>
      </c>
      <c r="F28" s="18" t="s">
        <v>84</v>
      </c>
      <c r="G28" s="18" t="s">
        <v>85</v>
      </c>
    </row>
    <row r="29" ht="22.5" customHeight="1">
      <c r="A29" s="19">
        <v>21.0</v>
      </c>
      <c r="B29" s="13" t="s">
        <v>81</v>
      </c>
      <c r="C29" s="14" t="s">
        <v>82</v>
      </c>
      <c r="D29" s="14">
        <v>1.0</v>
      </c>
      <c r="E29" s="15" t="s">
        <v>86</v>
      </c>
      <c r="F29" s="18" t="s">
        <v>87</v>
      </c>
      <c r="G29" s="18" t="s">
        <v>88</v>
      </c>
    </row>
    <row r="30" ht="104.25" customHeight="1">
      <c r="A30" s="22">
        <v>22.0</v>
      </c>
      <c r="B30" s="13" t="s">
        <v>81</v>
      </c>
      <c r="C30" s="14" t="s">
        <v>17</v>
      </c>
      <c r="D30" s="14">
        <v>2.0</v>
      </c>
      <c r="E30" s="15" t="s">
        <v>89</v>
      </c>
      <c r="F30" s="16" t="s">
        <v>90</v>
      </c>
      <c r="G30" s="16" t="s">
        <v>91</v>
      </c>
    </row>
    <row r="31" ht="22.5" customHeight="1">
      <c r="A31" s="19">
        <v>23.0</v>
      </c>
      <c r="B31" s="13" t="s">
        <v>92</v>
      </c>
      <c r="C31" s="14" t="s">
        <v>44</v>
      </c>
      <c r="D31" s="14">
        <v>2.0</v>
      </c>
      <c r="E31" s="15" t="s">
        <v>93</v>
      </c>
      <c r="F31" s="15" t="s">
        <v>94</v>
      </c>
      <c r="G31" s="16" t="s">
        <v>95</v>
      </c>
    </row>
    <row r="32" ht="96.0" customHeight="1">
      <c r="A32" s="22">
        <v>24.0</v>
      </c>
      <c r="B32" s="13" t="s">
        <v>96</v>
      </c>
      <c r="C32" s="14" t="s">
        <v>82</v>
      </c>
      <c r="D32" s="14">
        <v>2.0</v>
      </c>
      <c r="E32" s="15" t="s">
        <v>97</v>
      </c>
      <c r="F32" s="16" t="s">
        <v>98</v>
      </c>
      <c r="G32" s="16" t="s">
        <v>99</v>
      </c>
    </row>
    <row r="33" ht="22.5" customHeight="1">
      <c r="A33" s="19">
        <v>25.0</v>
      </c>
      <c r="B33" s="13" t="s">
        <v>96</v>
      </c>
      <c r="C33" s="14" t="s">
        <v>82</v>
      </c>
      <c r="D33" s="14">
        <v>2.0</v>
      </c>
      <c r="E33" s="15" t="s">
        <v>100</v>
      </c>
      <c r="F33" s="16" t="s">
        <v>101</v>
      </c>
      <c r="G33" s="16" t="s">
        <v>102</v>
      </c>
    </row>
    <row r="34" ht="121.5" customHeight="1">
      <c r="A34" s="12">
        <v>26.0</v>
      </c>
      <c r="B34" s="13" t="s">
        <v>43</v>
      </c>
      <c r="C34" s="14" t="s">
        <v>17</v>
      </c>
      <c r="D34" s="14">
        <v>4.0</v>
      </c>
      <c r="E34" s="17" t="s">
        <v>103</v>
      </c>
      <c r="F34" s="16" t="s">
        <v>104</v>
      </c>
      <c r="G34" s="18" t="s">
        <v>105</v>
      </c>
    </row>
    <row r="35" ht="120.0" customHeight="1">
      <c r="A35" s="19">
        <v>27.0</v>
      </c>
      <c r="B35" s="23"/>
      <c r="C35" s="24"/>
      <c r="D35" s="24"/>
      <c r="E35" s="15"/>
      <c r="F35" s="16"/>
      <c r="G35" s="16"/>
    </row>
    <row r="36" ht="22.5" customHeight="1">
      <c r="A36" s="22">
        <v>28.0</v>
      </c>
      <c r="B36" s="23"/>
      <c r="C36" s="24"/>
      <c r="D36" s="24"/>
      <c r="E36" s="15"/>
      <c r="F36" s="16"/>
      <c r="G36" s="16"/>
    </row>
    <row r="37" ht="22.5" customHeight="1">
      <c r="A37" s="19">
        <v>29.0</v>
      </c>
      <c r="B37" s="23"/>
      <c r="C37" s="24"/>
      <c r="D37" s="24"/>
      <c r="E37" s="15"/>
      <c r="F37" s="16"/>
      <c r="G37" s="16"/>
    </row>
    <row r="38" ht="22.5" customHeight="1">
      <c r="A38" s="22">
        <v>30.0</v>
      </c>
      <c r="B38" s="23"/>
      <c r="C38" s="24"/>
      <c r="D38" s="24"/>
      <c r="E38" s="17"/>
      <c r="F38" s="16"/>
      <c r="G38" s="16"/>
    </row>
    <row r="39" ht="22.5" customHeight="1">
      <c r="A39" s="19">
        <v>31.0</v>
      </c>
      <c r="B39" s="23"/>
      <c r="C39" s="24"/>
      <c r="D39" s="24"/>
      <c r="E39" s="15"/>
      <c r="F39" s="16"/>
      <c r="G39" s="25"/>
    </row>
    <row r="40" ht="22.5" customHeight="1">
      <c r="A40" s="22">
        <v>32.0</v>
      </c>
      <c r="B40" s="23"/>
      <c r="C40" s="24"/>
      <c r="D40" s="24"/>
      <c r="E40" s="21"/>
      <c r="F40" s="16"/>
      <c r="G40" s="16"/>
    </row>
    <row r="41" ht="22.5" customHeight="1">
      <c r="A41" s="19">
        <v>33.0</v>
      </c>
      <c r="B41" s="23"/>
      <c r="C41" s="24"/>
      <c r="D41" s="24"/>
      <c r="E41" s="15"/>
      <c r="F41" s="16"/>
      <c r="G41" s="16"/>
    </row>
    <row r="42" ht="22.5" customHeight="1">
      <c r="A42" s="22">
        <v>34.0</v>
      </c>
      <c r="B42" s="23"/>
      <c r="C42" s="24"/>
      <c r="D42" s="24"/>
      <c r="E42" s="17"/>
      <c r="F42" s="16"/>
      <c r="G42" s="16"/>
    </row>
    <row r="43" ht="22.5" customHeight="1">
      <c r="A43" s="19">
        <v>35.0</v>
      </c>
      <c r="B43" s="23"/>
      <c r="C43" s="24"/>
      <c r="D43" s="24"/>
      <c r="E43" s="21"/>
      <c r="F43" s="16"/>
      <c r="G43" s="16"/>
    </row>
    <row r="44" ht="22.5" customHeight="1">
      <c r="A44" s="22">
        <v>36.0</v>
      </c>
      <c r="B44" s="23"/>
      <c r="C44" s="24"/>
      <c r="D44" s="24"/>
      <c r="E44" s="21"/>
      <c r="F44" s="16"/>
      <c r="G44" s="25"/>
    </row>
    <row r="45" ht="22.5" customHeight="1">
      <c r="A45" s="19">
        <v>37.0</v>
      </c>
      <c r="B45" s="23"/>
      <c r="C45" s="24"/>
      <c r="D45" s="24"/>
      <c r="E45" s="15"/>
      <c r="F45" s="16"/>
      <c r="G45" s="16"/>
    </row>
    <row r="46" ht="22.5" customHeight="1">
      <c r="A46" s="22">
        <v>38.0</v>
      </c>
      <c r="B46" s="23"/>
      <c r="C46" s="24"/>
      <c r="D46" s="24"/>
      <c r="E46" s="15"/>
      <c r="F46" s="16"/>
      <c r="G46" s="16"/>
    </row>
    <row r="47" ht="22.5" customHeight="1">
      <c r="A47" s="19">
        <v>39.0</v>
      </c>
      <c r="B47" s="23"/>
      <c r="C47" s="24"/>
      <c r="D47" s="24"/>
      <c r="E47" s="17"/>
      <c r="F47" s="25"/>
      <c r="G47" s="16"/>
    </row>
    <row r="48" ht="22.5" customHeight="1">
      <c r="A48" s="22">
        <v>40.0</v>
      </c>
      <c r="B48" s="23"/>
      <c r="C48" s="24"/>
      <c r="D48" s="24"/>
      <c r="E48" s="15"/>
      <c r="F48" s="16"/>
      <c r="G48" s="25"/>
    </row>
    <row r="49" ht="22.5" customHeight="1">
      <c r="A49" s="19">
        <v>41.0</v>
      </c>
      <c r="B49" s="23"/>
      <c r="C49" s="24"/>
      <c r="D49" s="24"/>
      <c r="E49" s="17"/>
      <c r="F49" s="16"/>
      <c r="G49" s="16"/>
    </row>
    <row r="50" ht="22.5" customHeight="1">
      <c r="A50" s="22">
        <v>42.0</v>
      </c>
      <c r="B50" s="23"/>
      <c r="C50" s="24"/>
      <c r="D50" s="24"/>
      <c r="E50" s="15"/>
      <c r="F50" s="25"/>
      <c r="G50" s="16"/>
    </row>
    <row r="51" ht="22.5" customHeight="1">
      <c r="A51" s="19">
        <v>43.0</v>
      </c>
      <c r="B51" s="23"/>
      <c r="C51" s="24"/>
      <c r="D51" s="24"/>
      <c r="E51" s="26"/>
      <c r="F51" s="27"/>
      <c r="G51" s="28"/>
    </row>
    <row r="52" ht="22.5" customHeight="1">
      <c r="A52" s="22">
        <v>44.0</v>
      </c>
      <c r="B52" s="23"/>
      <c r="C52" s="24"/>
      <c r="D52" s="24"/>
      <c r="E52" s="26"/>
      <c r="F52" s="28"/>
      <c r="G52" s="28"/>
    </row>
    <row r="53" ht="22.5" customHeight="1">
      <c r="A53" s="19">
        <v>45.0</v>
      </c>
      <c r="B53" s="23"/>
      <c r="C53" s="24"/>
      <c r="D53" s="24"/>
      <c r="E53" s="26"/>
      <c r="F53" s="28"/>
      <c r="G53" s="28"/>
    </row>
    <row r="54" ht="22.5" customHeight="1">
      <c r="A54" s="22">
        <v>46.0</v>
      </c>
      <c r="B54" s="23"/>
      <c r="C54" s="24"/>
      <c r="D54" s="24"/>
      <c r="E54" s="26"/>
      <c r="F54" s="28"/>
      <c r="G54" s="28"/>
    </row>
    <row r="55" ht="22.5" customHeight="1">
      <c r="A55" s="19">
        <v>47.0</v>
      </c>
      <c r="B55" s="23"/>
      <c r="C55" s="24"/>
      <c r="D55" s="24"/>
      <c r="E55" s="26"/>
      <c r="F55" s="28"/>
      <c r="G55" s="28"/>
    </row>
    <row r="56" ht="22.5" customHeight="1">
      <c r="A56" s="22">
        <v>48.0</v>
      </c>
      <c r="B56" s="23"/>
      <c r="C56" s="24"/>
      <c r="D56" s="24"/>
      <c r="E56" s="26"/>
      <c r="F56" s="28"/>
      <c r="G56" s="28"/>
    </row>
    <row r="57" ht="22.5" customHeight="1">
      <c r="A57" s="19">
        <v>49.0</v>
      </c>
      <c r="B57" s="23"/>
      <c r="C57" s="24"/>
      <c r="D57" s="24"/>
      <c r="E57" s="26"/>
      <c r="F57" s="28"/>
      <c r="G57" s="28"/>
    </row>
    <row r="58" ht="22.5" customHeight="1">
      <c r="A58" s="22">
        <v>50.0</v>
      </c>
      <c r="B58" s="23"/>
      <c r="C58" s="24"/>
      <c r="D58" s="24"/>
      <c r="E58" s="26"/>
      <c r="F58" s="28"/>
      <c r="G58" s="28"/>
    </row>
    <row r="59" ht="22.5" customHeight="1">
      <c r="A59" s="19">
        <v>51.0</v>
      </c>
      <c r="B59" s="23"/>
      <c r="C59" s="24"/>
      <c r="D59" s="24"/>
      <c r="E59" s="26"/>
      <c r="F59" s="28"/>
      <c r="G59" s="28"/>
    </row>
    <row r="60" ht="22.5" customHeight="1">
      <c r="A60" s="22">
        <v>52.0</v>
      </c>
      <c r="B60" s="23"/>
      <c r="C60" s="24"/>
      <c r="D60" s="24"/>
      <c r="E60" s="26"/>
      <c r="F60" s="28"/>
      <c r="G60" s="28"/>
    </row>
    <row r="61" ht="22.5" customHeight="1">
      <c r="A61" s="19">
        <v>53.0</v>
      </c>
      <c r="B61" s="23"/>
      <c r="C61" s="24"/>
      <c r="D61" s="24"/>
      <c r="E61" s="26"/>
      <c r="F61" s="28"/>
      <c r="G61" s="28"/>
    </row>
    <row r="62" ht="22.5" customHeight="1">
      <c r="A62" s="22">
        <v>54.0</v>
      </c>
      <c r="B62" s="23"/>
      <c r="C62" s="24"/>
      <c r="D62" s="24"/>
      <c r="E62" s="26"/>
      <c r="F62" s="28"/>
      <c r="G62" s="28"/>
    </row>
    <row r="63" ht="22.5" customHeight="1">
      <c r="A63" s="29">
        <v>55.0</v>
      </c>
      <c r="B63" s="23"/>
      <c r="C63" s="24"/>
      <c r="D63" s="24"/>
      <c r="E63" s="26"/>
      <c r="F63" s="28"/>
      <c r="G63" s="28"/>
    </row>
    <row r="64" ht="22.5" customHeight="1">
      <c r="A64" s="12"/>
      <c r="B64" s="23"/>
      <c r="C64" s="24"/>
      <c r="D64" s="24"/>
      <c r="E64" s="26"/>
      <c r="F64" s="28"/>
      <c r="G64" s="28"/>
    </row>
  </sheetData>
  <customSheetViews>
    <customSheetView guid="{826B76DE-176B-40F9-A67B-398D175B580E}" filter="1" showAutoFilter="1">
      <autoFilter ref="$A$9:$G$64"/>
    </customSheetView>
    <customSheetView guid="{FFD9727A-19B9-4EF1-BC3D-DAC22D8CA73B}" filter="1" showAutoFilter="1">
      <autoFilter ref="$A$9:$G$64"/>
    </customSheetView>
  </customSheetViews>
  <mergeCells count="1">
    <mergeCell ref="B1:E1"/>
  </mergeCells>
  <dataValidations>
    <dataValidation type="list" allowBlank="1" sqref="B10:B64">
      <formula1>"H1: Visibility of System Status,H2: Match b/w System &amp; World,H3: User Control &amp; Freedom,H4: Consistency &amp; Standards,H5: Error Prevention,H6: Recognition not Recall,H7: Flexibility &amp; Efficiency of Use,H8: Aesthetic &amp; Minimalist Design,H9: Help Users with E"&amp;"rrors,H10: Help &amp; Documentation"</formula1>
    </dataValidation>
    <dataValidation type="list" allowBlank="1" sqref="D10:D64">
      <formula1>"0,1,2,3,4"</formula1>
    </dataValidation>
    <dataValidation type="list" allowBlank="1" sqref="C10:C64">
      <formula1>"1. Simple Task,2. Moderate Task,3. Complex Task,4. All Tasks,5. Extra Violations"</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s>
  <sheetData>
    <row r="1">
      <c r="A1" s="30" t="s">
        <v>106</v>
      </c>
      <c r="B1" s="31" t="s">
        <v>107</v>
      </c>
      <c r="D1" s="30" t="s">
        <v>108</v>
      </c>
      <c r="E1" s="32"/>
      <c r="F1" s="32"/>
      <c r="G1" s="33"/>
    </row>
    <row r="2">
      <c r="A2" s="34" t="s">
        <v>16</v>
      </c>
      <c r="B2" s="35">
        <f>COUNTIF('Individual Heuristic Evaluation'!B:B, "H1: Visibility of System Status")
</f>
        <v>1</v>
      </c>
      <c r="D2" s="36" t="s">
        <v>109</v>
      </c>
      <c r="G2" s="37"/>
    </row>
    <row r="3">
      <c r="A3" s="38" t="s">
        <v>21</v>
      </c>
      <c r="B3" s="39">
        <f>COUNTIF('Individual Heuristic Evaluation'!B:B, "H2: Match b/w System &amp; World")
</f>
        <v>2</v>
      </c>
      <c r="D3" s="40"/>
      <c r="G3" s="37"/>
    </row>
    <row r="4">
      <c r="A4" s="38" t="s">
        <v>29</v>
      </c>
      <c r="B4" s="39">
        <f>COUNTIF('Individual Heuristic Evaluation'!B:B, "H3: User Control &amp; Freedom")
</f>
        <v>4</v>
      </c>
      <c r="D4" s="40"/>
      <c r="G4" s="37"/>
    </row>
    <row r="5">
      <c r="A5" s="38" t="s">
        <v>43</v>
      </c>
      <c r="B5" s="39">
        <f>COUNTIF('Individual Heuristic Evaluation'!B:B, "H4: Consistency &amp; Standards")
</f>
        <v>6</v>
      </c>
      <c r="D5" s="40"/>
      <c r="G5" s="37"/>
    </row>
    <row r="6">
      <c r="A6" s="38" t="s">
        <v>60</v>
      </c>
      <c r="B6" s="39">
        <f>COUNTIF('Individual Heuristic Evaluation'!B:B, "H5: Error Prevention")
</f>
        <v>1</v>
      </c>
      <c r="D6" s="40"/>
      <c r="G6" s="37"/>
    </row>
    <row r="7">
      <c r="A7" s="38" t="s">
        <v>64</v>
      </c>
      <c r="B7" s="39">
        <f>COUNTIF('Individual Heuristic Evaluation'!B:B, "H6: Recognition not Recall")
</f>
        <v>2</v>
      </c>
      <c r="D7" s="40"/>
      <c r="G7" s="37"/>
    </row>
    <row r="8">
      <c r="A8" s="38" t="s">
        <v>71</v>
      </c>
      <c r="B8" s="39">
        <f>COUNTIF('Individual Heuristic Evaluation'!B:B, "H7: Flexibility &amp; Efficiency of Use")
</f>
        <v>3</v>
      </c>
      <c r="D8" s="40"/>
      <c r="G8" s="37"/>
    </row>
    <row r="9">
      <c r="A9" s="38" t="s">
        <v>81</v>
      </c>
      <c r="B9" s="39">
        <f>COUNTIF('Individual Heuristic Evaluation'!B:B, "H8: Aesthetic &amp; Minimalist Design")
</f>
        <v>3</v>
      </c>
      <c r="D9" s="40"/>
      <c r="G9" s="37"/>
    </row>
    <row r="10">
      <c r="A10" s="38" t="s">
        <v>92</v>
      </c>
      <c r="B10" s="39">
        <f>COUNTIF('Individual Heuristic Evaluation'!B:B, "H9: Help Users with Errors")
</f>
        <v>1</v>
      </c>
      <c r="D10" s="40"/>
      <c r="G10" s="37"/>
    </row>
    <row r="11">
      <c r="A11" s="38" t="s">
        <v>96</v>
      </c>
      <c r="B11" s="39">
        <f>COUNTIF('Individual Heuristic Evaluation'!B:B, "H10: Help &amp; Documentation")
</f>
        <v>2</v>
      </c>
      <c r="D11" s="40"/>
      <c r="G11" s="37"/>
    </row>
    <row r="12">
      <c r="A12" s="38"/>
      <c r="B12" s="39"/>
      <c r="D12" s="40"/>
      <c r="G12" s="37"/>
    </row>
    <row r="13">
      <c r="A13" s="38"/>
      <c r="B13" s="39"/>
      <c r="D13" s="40"/>
      <c r="G13" s="37"/>
    </row>
    <row r="14" ht="418.5" customHeight="1">
      <c r="A14" s="41" t="s">
        <v>110</v>
      </c>
      <c r="B14" s="42">
        <f>SUM(B2:B13)</f>
        <v>25</v>
      </c>
      <c r="D14" s="43"/>
      <c r="E14" s="44"/>
      <c r="F14" s="44"/>
      <c r="G14" s="45"/>
    </row>
  </sheetData>
  <mergeCells count="2">
    <mergeCell ref="D1:G1"/>
    <mergeCell ref="D2:G14"/>
  </mergeCells>
  <drawing r:id="rId1"/>
</worksheet>
</file>